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P Schedule"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quot;$&quot;#,##0.00"/>
  </numFmts>
  <fonts count="13">
    <font>
      <name val="Calibri"/>
      <family val="2"/>
      <color theme="1"/>
      <sz val="11"/>
      <scheme val="minor"/>
    </font>
    <font>
      <name val="Arial"/>
      <b val="1"/>
      <color rgb="FF1A3C6E"/>
      <sz val="16"/>
    </font>
    <font>
      <name val="Arial"/>
      <i val="1"/>
      <color rgb="FF66768A"/>
      <sz val="10"/>
    </font>
    <font>
      <name val="Arial"/>
      <b val="1"/>
      <color rgb="FF000000"/>
      <sz val="10"/>
    </font>
    <font>
      <name val="Arial"/>
      <color rgb="FF0070C0"/>
      <sz val="10"/>
    </font>
    <font>
      <name val="Arial"/>
      <i val="1"/>
      <color rgb="FF66768A"/>
      <sz val="9"/>
    </font>
    <font>
      <name val="Arial"/>
      <b val="1"/>
      <color rgb="FFB26A05"/>
      <sz val="9"/>
    </font>
    <font>
      <name val="Arial"/>
      <b val="1"/>
      <color rgb="FF1A3C6E"/>
      <sz val="9"/>
    </font>
    <font>
      <name val="Arial"/>
      <color rgb="FF000000"/>
      <sz val="10"/>
    </font>
    <font>
      <name val="Arial"/>
      <color rgb="FF000000"/>
      <sz val="9"/>
    </font>
    <font>
      <name val="Arial"/>
      <b val="1"/>
      <color rgb="FF1A3C6E"/>
      <sz val="12"/>
    </font>
    <font>
      <name val="Arial"/>
      <b val="1"/>
      <color rgb="FF000000"/>
      <sz val="9"/>
    </font>
    <font>
      <name val="Arial"/>
      <color rgb="FF3C4B5D"/>
      <sz val="9"/>
    </font>
  </fonts>
  <fills count="5">
    <fill>
      <patternFill/>
    </fill>
    <fill>
      <patternFill patternType="gray125"/>
    </fill>
    <fill>
      <patternFill patternType="solid">
        <fgColor rgb="FFFDF3E0"/>
      </patternFill>
    </fill>
    <fill>
      <patternFill patternType="solid">
        <fgColor rgb="FFEFF2F6"/>
      </patternFill>
    </fill>
    <fill>
      <patternFill patternType="solid">
        <fgColor rgb="FFF2F6F9"/>
      </patternFill>
    </fill>
  </fills>
  <borders count="5">
    <border>
      <left/>
      <right/>
      <top/>
      <bottom/>
      <diagonal/>
    </border>
    <border>
      <left style="thin">
        <color rgb="FFD9E0E8"/>
      </left>
      <right style="thin">
        <color rgb="FFD9E0E8"/>
      </right>
      <top style="thin">
        <color rgb="FFD9E0E8"/>
      </top>
      <bottom style="medium">
        <color rgb="FFB9C4D0"/>
      </bottom>
    </border>
    <border>
      <left style="thin">
        <color rgb="FFD9E0E8"/>
      </left>
      <right style="thin">
        <color rgb="FFD9E0E8"/>
      </right>
      <bottom style="thin">
        <color rgb="FFD9E0E8"/>
      </bottom>
    </border>
    <border>
      <top style="medium">
        <color rgb="FFB9C4D0"/>
      </top>
      <bottom style="double">
        <color rgb="FFB9C4D0"/>
      </bottom>
    </border>
    <border>
      <bottom style="thin">
        <color rgb="FFD9E0E8"/>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64" fontId="4" fillId="0" borderId="0" pivotButton="0" quotePrefix="0" xfId="0"/>
    <xf numFmtId="0" fontId="5" fillId="0" borderId="0" pivotButton="0" quotePrefix="0" xfId="0"/>
    <xf numFmtId="0" fontId="6" fillId="2" borderId="0" pivotButton="0" quotePrefix="0" xfId="0"/>
    <xf numFmtId="0" fontId="7" fillId="3" borderId="1" applyAlignment="1" pivotButton="0" quotePrefix="0" xfId="0">
      <alignment horizontal="center" vertical="center" wrapText="1"/>
    </xf>
    <xf numFmtId="0" fontId="8" fillId="0" borderId="2" pivotButton="0" quotePrefix="0" xfId="0"/>
    <xf numFmtId="164" fontId="8" fillId="0" borderId="2" pivotButton="0" quotePrefix="0" xfId="0"/>
    <xf numFmtId="165" fontId="4" fillId="0" borderId="2" pivotButton="0" quotePrefix="0" xfId="0"/>
    <xf numFmtId="165" fontId="8" fillId="0" borderId="2" pivotButton="0" quotePrefix="0" xfId="0"/>
    <xf numFmtId="8" fontId="8" fillId="0" borderId="2" pivotButton="0" quotePrefix="0" xfId="0"/>
    <xf numFmtId="0" fontId="9" fillId="0" borderId="2" applyAlignment="1" pivotButton="0" quotePrefix="0" xfId="0">
      <alignment horizontal="center" vertical="center"/>
    </xf>
    <xf numFmtId="0" fontId="3" fillId="4" borderId="3" pivotButton="0" quotePrefix="0" xfId="0"/>
    <xf numFmtId="164" fontId="3" fillId="4" borderId="3" pivotButton="0" quotePrefix="0" xfId="0"/>
    <xf numFmtId="165" fontId="3" fillId="4" borderId="3" pivotButton="0" quotePrefix="0" xfId="0"/>
    <xf numFmtId="8" fontId="3" fillId="4" borderId="3" pivotButton="0" quotePrefix="0" xfId="0"/>
    <xf numFmtId="0" fontId="0" fillId="4" borderId="3" pivotButton="0" quotePrefix="0" xfId="0"/>
    <xf numFmtId="0" fontId="10" fillId="0" borderId="0" pivotButton="0" quotePrefix="0" xfId="0"/>
    <xf numFmtId="0" fontId="8" fillId="0" borderId="4" pivotButton="0" quotePrefix="0" xfId="0"/>
    <xf numFmtId="165" fontId="3" fillId="0" borderId="4" pivotButton="0" quotePrefix="0" xfId="0"/>
    <xf numFmtId="164" fontId="3" fillId="0" borderId="4" pivotButton="0" quotePrefix="0" xfId="0"/>
    <xf numFmtId="8" fontId="3" fillId="0" borderId="4" pivotButton="0" quotePrefix="0" xfId="0"/>
    <xf numFmtId="0" fontId="3" fillId="0" borderId="4" pivotButton="0" quotePrefix="0" xfId="0"/>
    <xf numFmtId="0" fontId="11" fillId="0" borderId="0" pivotButton="0" quotePrefix="0" xfId="0"/>
    <xf numFmtId="0" fontId="12" fillId="0" borderId="0" applyAlignment="1" pivotButton="0" quotePrefix="0" xfId="0">
      <alignment vertical="center"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M60"/>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5" customWidth="1" min="3" max="3"/>
    <col width="16" customWidth="1" min="4" max="4"/>
    <col width="16" customWidth="1" min="5" max="5"/>
    <col width="15" customWidth="1" min="6" max="6"/>
    <col width="15" customWidth="1" min="7" max="7"/>
    <col width="12" customWidth="1" min="8" max="8"/>
    <col width="16" customWidth="1" min="9" max="9"/>
    <col width="18" customWidth="1" min="10" max="10"/>
    <col width="15" customWidth="1" min="11" max="11"/>
    <col width="12" customWidth="1" min="12" max="12"/>
    <col width="13" customWidth="1" min="13" max="13"/>
  </cols>
  <sheetData>
    <row r="2">
      <c r="B2" s="1" t="inlineStr">
        <is>
          <t>Work-in-Progress Schedule</t>
        </is>
      </c>
    </row>
    <row r="3">
      <c r="B3" s="2" t="inlineStr">
        <is>
          <t>GAAP percentage-of-completion, cost-to-cost method</t>
        </is>
      </c>
    </row>
    <row r="5">
      <c r="B5" s="3" t="inlineStr">
        <is>
          <t>Company:</t>
        </is>
      </c>
      <c r="C5" s="4" t="inlineStr">
        <is>
          <t>Sample Contractor, LLC</t>
        </is>
      </c>
    </row>
    <row r="6">
      <c r="B6" s="3" t="inlineStr">
        <is>
          <t>Period ended:</t>
        </is>
      </c>
      <c r="C6" s="4" t="inlineStr">
        <is>
          <t>28-Feb-2026</t>
        </is>
      </c>
    </row>
    <row r="7">
      <c r="B7" s="3" t="inlineStr">
        <is>
          <t>Effective tax rate:</t>
        </is>
      </c>
      <c r="C7" s="5" t="n">
        <v>0</v>
      </c>
      <c r="D7" s="6" t="inlineStr">
        <is>
          <t>&lt;- gross-up divisor; leave at 0% for a book-basis schedule</t>
        </is>
      </c>
    </row>
    <row r="9">
      <c r="B9" s="7" t="inlineStr">
        <is>
          <t>ILLUSTRATIVE SAMPLE - figures are fictional and do not represent any client.</t>
        </is>
      </c>
    </row>
    <row r="12" ht="34" customHeight="1">
      <c r="B12" s="8" t="inlineStr">
        <is>
          <t>Job Name</t>
        </is>
      </c>
      <c r="C12" s="8" t="inlineStr">
        <is>
          <t>Target Margin</t>
        </is>
      </c>
      <c r="D12" s="8" t="inlineStr">
        <is>
          <t>Final Contract</t>
        </is>
      </c>
      <c r="E12" s="8" t="inlineStr">
        <is>
          <t>Current Budget (Est. Cost)</t>
        </is>
      </c>
      <c r="F12" s="8" t="inlineStr">
        <is>
          <t>Billed to Date</t>
        </is>
      </c>
      <c r="G12" s="8" t="inlineStr">
        <is>
          <t>Cost to Date</t>
        </is>
      </c>
      <c r="H12" s="8" t="inlineStr">
        <is>
          <t>% Complete</t>
        </is>
      </c>
      <c r="I12" s="8" t="inlineStr">
        <is>
          <t>Earned Revenue</t>
        </is>
      </c>
      <c r="J12" s="8" t="inlineStr">
        <is>
          <t>Over / (Under) Billing</t>
        </is>
      </c>
      <c r="K12" s="8" t="inlineStr">
        <is>
          <t>Gross Profit</t>
        </is>
      </c>
      <c r="L12" s="8" t="inlineStr">
        <is>
          <t>Gross Margin</t>
        </is>
      </c>
      <c r="M12" s="8" t="inlineStr">
        <is>
          <t>Status</t>
        </is>
      </c>
    </row>
    <row r="13">
      <c r="B13" s="9" t="inlineStr">
        <is>
          <t>Northside Distribution Centre - Shell</t>
        </is>
      </c>
      <c r="C13" s="10">
        <f>IFERROR((D13-E13)/D13,"")</f>
        <v/>
      </c>
      <c r="D13" s="11" t="n">
        <v>879500</v>
      </c>
      <c r="E13" s="11" t="n">
        <v>605600</v>
      </c>
      <c r="F13" s="11" t="n">
        <v>629000</v>
      </c>
      <c r="G13" s="11" t="n">
        <v>529835</v>
      </c>
      <c r="H13" s="10">
        <f>IFERROR(G13/E13,"")</f>
        <v/>
      </c>
      <c r="I13" s="12">
        <f>IFERROR(D13*H13,0)</f>
        <v/>
      </c>
      <c r="J13" s="13">
        <f>(I13-F13)/($C$7+1)</f>
        <v/>
      </c>
      <c r="K13" s="12">
        <f>(D13-E13)/($C$7+1)</f>
        <v/>
      </c>
      <c r="L13" s="10">
        <f>IFERROR((D13-E13)/D13,"")</f>
        <v/>
      </c>
      <c r="M13" s="14">
        <f>IF(J13=0,"Even",IF(J13&gt;0,"Underbilled","Overbilled"))</f>
        <v/>
      </c>
    </row>
    <row r="14">
      <c r="B14" s="9" t="inlineStr">
        <is>
          <t>Cedar Creek Equipment Barn</t>
        </is>
      </c>
      <c r="C14" s="10">
        <f>IFERROR((D14-E14)/D14,"")</f>
        <v/>
      </c>
      <c r="D14" s="11" t="n">
        <v>736800</v>
      </c>
      <c r="E14" s="11" t="n">
        <v>506600</v>
      </c>
      <c r="F14" s="11" t="n">
        <v>736800</v>
      </c>
      <c r="G14" s="11" t="n">
        <v>506600</v>
      </c>
      <c r="H14" s="10">
        <f>IFERROR(G14/E14,"")</f>
        <v/>
      </c>
      <c r="I14" s="12">
        <f>IFERROR(D14*H14,0)</f>
        <v/>
      </c>
      <c r="J14" s="13">
        <f>(I14-F14)/($C$7+1)</f>
        <v/>
      </c>
      <c r="K14" s="12">
        <f>(D14-E14)/($C$7+1)</f>
        <v/>
      </c>
      <c r="L14" s="10">
        <f>IFERROR((D14-E14)/D14,"")</f>
        <v/>
      </c>
      <c r="M14" s="14">
        <f>IF(J14=0,"Even",IF(J14&gt;0,"Underbilled","Overbilled"))</f>
        <v/>
      </c>
    </row>
    <row r="15">
      <c r="B15" s="9" t="inlineStr">
        <is>
          <t>Maple Ridge Horse Barn</t>
        </is>
      </c>
      <c r="C15" s="10">
        <f>IFERROR((D15-E15)/D15,"")</f>
        <v/>
      </c>
      <c r="D15" s="11" t="n">
        <v>145900</v>
      </c>
      <c r="E15" s="11" t="n">
        <v>99000</v>
      </c>
      <c r="F15" s="11" t="n">
        <v>140100</v>
      </c>
      <c r="G15" s="11" t="n">
        <v>77112</v>
      </c>
      <c r="H15" s="10">
        <f>IFERROR(G15/E15,"")</f>
        <v/>
      </c>
      <c r="I15" s="12">
        <f>IFERROR(D15*H15,0)</f>
        <v/>
      </c>
      <c r="J15" s="13">
        <f>(I15-F15)/($C$7+1)</f>
        <v/>
      </c>
      <c r="K15" s="12">
        <f>(D15-E15)/($C$7+1)</f>
        <v/>
      </c>
      <c r="L15" s="10">
        <f>IFERROR((D15-E15)/D15,"")</f>
        <v/>
      </c>
      <c r="M15" s="14">
        <f>IF(J15=0,"Even",IF(J15&gt;0,"Underbilled","Overbilled"))</f>
        <v/>
      </c>
    </row>
    <row r="16">
      <c r="B16" s="9" t="inlineStr">
        <is>
          <t>Riverbend Commercial Garage</t>
        </is>
      </c>
      <c r="C16" s="10">
        <f>IFERROR((D16-E16)/D16,"")</f>
        <v/>
      </c>
      <c r="D16" s="11" t="n">
        <v>88100</v>
      </c>
      <c r="E16" s="11" t="n">
        <v>64600</v>
      </c>
      <c r="F16" s="11" t="n">
        <v>88100</v>
      </c>
      <c r="G16" s="11" t="n">
        <v>55164</v>
      </c>
      <c r="H16" s="10">
        <f>IFERROR(G16/E16,"")</f>
        <v/>
      </c>
      <c r="I16" s="12">
        <f>IFERROR(D16*H16,0)</f>
        <v/>
      </c>
      <c r="J16" s="13">
        <f>(I16-F16)/($C$7+1)</f>
        <v/>
      </c>
      <c r="K16" s="12">
        <f>(D16-E16)/($C$7+1)</f>
        <v/>
      </c>
      <c r="L16" s="10">
        <f>IFERROR((D16-E16)/D16,"")</f>
        <v/>
      </c>
      <c r="M16" s="14">
        <f>IF(J16=0,"Even",IF(J16&gt;0,"Underbilled","Overbilled"))</f>
        <v/>
      </c>
    </row>
    <row r="17">
      <c r="B17" s="9" t="inlineStr">
        <is>
          <t>Westland Feedyard - Feed Shed</t>
        </is>
      </c>
      <c r="C17" s="10">
        <f>IFERROR((D17-E17)/D17,"")</f>
        <v/>
      </c>
      <c r="D17" s="11" t="n">
        <v>96600</v>
      </c>
      <c r="E17" s="11" t="n">
        <v>67300</v>
      </c>
      <c r="F17" s="11" t="n">
        <v>77000</v>
      </c>
      <c r="G17" s="11" t="n">
        <v>56678</v>
      </c>
      <c r="H17" s="10">
        <f>IFERROR(G17/E17,"")</f>
        <v/>
      </c>
      <c r="I17" s="12">
        <f>IFERROR(D17*H17,0)</f>
        <v/>
      </c>
      <c r="J17" s="13">
        <f>(I17-F17)/($C$7+1)</f>
        <v/>
      </c>
      <c r="K17" s="12">
        <f>(D17-E17)/($C$7+1)</f>
        <v/>
      </c>
      <c r="L17" s="10">
        <f>IFERROR((D17-E17)/D17,"")</f>
        <v/>
      </c>
      <c r="M17" s="14">
        <f>IF(J17=0,"Even",IF(J17&gt;0,"Underbilled","Overbilled"))</f>
        <v/>
      </c>
    </row>
    <row r="18">
      <c r="B18" s="9" t="inlineStr">
        <is>
          <t>Ironwood Shop Building</t>
        </is>
      </c>
      <c r="C18" s="10">
        <f>IFERROR((D18-E18)/D18,"")</f>
        <v/>
      </c>
      <c r="D18" s="11" t="n">
        <v>201900</v>
      </c>
      <c r="E18" s="11" t="n">
        <v>137000</v>
      </c>
      <c r="F18" s="11" t="n">
        <v>182100</v>
      </c>
      <c r="G18" s="11" t="n">
        <v>75627</v>
      </c>
      <c r="H18" s="10">
        <f>IFERROR(G18/E18,"")</f>
        <v/>
      </c>
      <c r="I18" s="12">
        <f>IFERROR(D18*H18,0)</f>
        <v/>
      </c>
      <c r="J18" s="13">
        <f>(I18-F18)/($C$7+1)</f>
        <v/>
      </c>
      <c r="K18" s="12">
        <f>(D18-E18)/($C$7+1)</f>
        <v/>
      </c>
      <c r="L18" s="10">
        <f>IFERROR((D18-E18)/D18,"")</f>
        <v/>
      </c>
      <c r="M18" s="14">
        <f>IF(J18=0,"Even",IF(J18&gt;0,"Underbilled","Overbilled"))</f>
        <v/>
      </c>
    </row>
    <row r="19">
      <c r="B19" s="9" t="inlineStr">
        <is>
          <t>Stonebridge Shop - Phase 1</t>
        </is>
      </c>
      <c r="C19" s="10">
        <f>IFERROR((D19-E19)/D19,"")</f>
        <v/>
      </c>
      <c r="D19" s="11" t="n">
        <v>96400</v>
      </c>
      <c r="E19" s="11" t="n">
        <v>65500</v>
      </c>
      <c r="F19" s="11" t="n">
        <v>30000</v>
      </c>
      <c r="G19" s="11" t="n">
        <v>26914</v>
      </c>
      <c r="H19" s="10">
        <f>IFERROR(G19/E19,"")</f>
        <v/>
      </c>
      <c r="I19" s="12">
        <f>IFERROR(D19*H19,0)</f>
        <v/>
      </c>
      <c r="J19" s="13">
        <f>(I19-F19)/($C$7+1)</f>
        <v/>
      </c>
      <c r="K19" s="12">
        <f>(D19-E19)/($C$7+1)</f>
        <v/>
      </c>
      <c r="L19" s="10">
        <f>IFERROR((D19-E19)/D19,"")</f>
        <v/>
      </c>
      <c r="M19" s="14">
        <f>IF(J19=0,"Even",IF(J19&gt;0,"Underbilled","Overbilled"))</f>
        <v/>
      </c>
    </row>
    <row r="20">
      <c r="B20" s="9" t="inlineStr">
        <is>
          <t>Fairview Garage</t>
        </is>
      </c>
      <c r="C20" s="10">
        <f>IFERROR((D20-E20)/D20,"")</f>
        <v/>
      </c>
      <c r="D20" s="11" t="n">
        <v>77200</v>
      </c>
      <c r="E20" s="11" t="n">
        <v>52400</v>
      </c>
      <c r="F20" s="11" t="n">
        <v>12000</v>
      </c>
      <c r="G20" s="11" t="n">
        <v>3205</v>
      </c>
      <c r="H20" s="10">
        <f>IFERROR(G20/E20,"")</f>
        <v/>
      </c>
      <c r="I20" s="12">
        <f>IFERROR(D20*H20,0)</f>
        <v/>
      </c>
      <c r="J20" s="13">
        <f>(I20-F20)/($C$7+1)</f>
        <v/>
      </c>
      <c r="K20" s="12">
        <f>(D20-E20)/($C$7+1)</f>
        <v/>
      </c>
      <c r="L20" s="10">
        <f>IFERROR((D20-E20)/D20,"")</f>
        <v/>
      </c>
      <c r="M20" s="14">
        <f>IF(J20=0,"Even",IF(J20&gt;0,"Underbilled","Overbilled"))</f>
        <v/>
      </c>
    </row>
    <row r="21">
      <c r="B21" s="9" t="inlineStr">
        <is>
          <t>Lakemont Residence</t>
        </is>
      </c>
      <c r="C21" s="10">
        <f>IFERROR((D21-E21)/D21,"")</f>
        <v/>
      </c>
      <c r="D21" s="11" t="n">
        <v>198000</v>
      </c>
      <c r="E21" s="11" t="n">
        <v>134400</v>
      </c>
      <c r="F21" s="11" t="n">
        <v>30000</v>
      </c>
      <c r="G21" s="11" t="n">
        <v>4593</v>
      </c>
      <c r="H21" s="10">
        <f>IFERROR(G21/E21,"")</f>
        <v/>
      </c>
      <c r="I21" s="12">
        <f>IFERROR(D21*H21,0)</f>
        <v/>
      </c>
      <c r="J21" s="13">
        <f>(I21-F21)/($C$7+1)</f>
        <v/>
      </c>
      <c r="K21" s="12">
        <f>(D21-E21)/($C$7+1)</f>
        <v/>
      </c>
      <c r="L21" s="10">
        <f>IFERROR((D21-E21)/D21,"")</f>
        <v/>
      </c>
      <c r="M21" s="14">
        <f>IF(J21=0,"Even",IF(J21&gt;0,"Underbilled","Overbilled"))</f>
        <v/>
      </c>
    </row>
    <row r="22">
      <c r="B22" s="9" t="inlineStr">
        <is>
          <t>Brookhaven Machine Shed</t>
        </is>
      </c>
      <c r="C22" s="10">
        <f>IFERROR((D22-E22)/D22,"")</f>
        <v/>
      </c>
      <c r="D22" s="11" t="n">
        <v>32900</v>
      </c>
      <c r="E22" s="11" t="n">
        <v>20000</v>
      </c>
      <c r="F22" s="11" t="n">
        <v>12000</v>
      </c>
      <c r="G22" s="11" t="n">
        <v>9994</v>
      </c>
      <c r="H22" s="10">
        <f>IFERROR(G22/E22,"")</f>
        <v/>
      </c>
      <c r="I22" s="12">
        <f>IFERROR(D22*H22,0)</f>
        <v/>
      </c>
      <c r="J22" s="13">
        <f>(I22-F22)/($C$7+1)</f>
        <v/>
      </c>
      <c r="K22" s="12">
        <f>(D22-E22)/($C$7+1)</f>
        <v/>
      </c>
      <c r="L22" s="10">
        <f>IFERROR((D22-E22)/D22,"")</f>
        <v/>
      </c>
      <c r="M22" s="14">
        <f>IF(J22=0,"Even",IF(J22&gt;0,"Underbilled","Overbilled"))</f>
        <v/>
      </c>
    </row>
    <row r="23">
      <c r="B23" s="9" t="inlineStr">
        <is>
          <t>Trinity Community Centre</t>
        </is>
      </c>
      <c r="C23" s="10">
        <f>IFERROR((D23-E23)/D23,"")</f>
        <v/>
      </c>
      <c r="D23" s="11" t="n">
        <v>165000</v>
      </c>
      <c r="E23" s="11" t="n">
        <v>146300</v>
      </c>
      <c r="F23" s="11" t="n">
        <v>111500</v>
      </c>
      <c r="G23" s="11" t="n">
        <v>77957</v>
      </c>
      <c r="H23" s="10">
        <f>IFERROR(G23/E23,"")</f>
        <v/>
      </c>
      <c r="I23" s="12">
        <f>IFERROR(D23*H23,0)</f>
        <v/>
      </c>
      <c r="J23" s="13">
        <f>(I23-F23)/($C$7+1)</f>
        <v/>
      </c>
      <c r="K23" s="12">
        <f>(D23-E23)/($C$7+1)</f>
        <v/>
      </c>
      <c r="L23" s="10">
        <f>IFERROR((D23-E23)/D23,"")</f>
        <v/>
      </c>
      <c r="M23" s="14">
        <f>IF(J23=0,"Even",IF(J23&gt;0,"Underbilled","Overbilled"))</f>
        <v/>
      </c>
    </row>
    <row r="24">
      <c r="B24" s="9" t="inlineStr">
        <is>
          <t>Greenfield Hay Storage</t>
        </is>
      </c>
      <c r="C24" s="10">
        <f>IFERROR((D24-E24)/D24,"")</f>
        <v/>
      </c>
      <c r="D24" s="11" t="n">
        <v>130000</v>
      </c>
      <c r="E24" s="11" t="n">
        <v>88200</v>
      </c>
      <c r="F24" s="11" t="n">
        <v>5000</v>
      </c>
      <c r="G24" s="11" t="n">
        <v>6399</v>
      </c>
      <c r="H24" s="10">
        <f>IFERROR(G24/E24,"")</f>
        <v/>
      </c>
      <c r="I24" s="12">
        <f>IFERROR(D24*H24,0)</f>
        <v/>
      </c>
      <c r="J24" s="13">
        <f>(I24-F24)/($C$7+1)</f>
        <v/>
      </c>
      <c r="K24" s="12">
        <f>(D24-E24)/($C$7+1)</f>
        <v/>
      </c>
      <c r="L24" s="10">
        <f>IFERROR((D24-E24)/D24,"")</f>
        <v/>
      </c>
      <c r="M24" s="14">
        <f>IF(J24=0,"Even",IF(J24&gt;0,"Underbilled","Overbilled"))</f>
        <v/>
      </c>
    </row>
    <row r="25">
      <c r="B25" s="9" t="inlineStr">
        <is>
          <t>Prairie View Agricultural Building</t>
        </is>
      </c>
      <c r="C25" s="10">
        <f>IFERROR((D25-E25)/D25,"")</f>
        <v/>
      </c>
      <c r="D25" s="11" t="n">
        <v>517300</v>
      </c>
      <c r="E25" s="11" t="n">
        <v>350400</v>
      </c>
      <c r="F25" s="11" t="n">
        <v>78000</v>
      </c>
      <c r="G25" s="11" t="n">
        <v>14012</v>
      </c>
      <c r="H25" s="10">
        <f>IFERROR(G25/E25,"")</f>
        <v/>
      </c>
      <c r="I25" s="12">
        <f>IFERROR(D25*H25,0)</f>
        <v/>
      </c>
      <c r="J25" s="13">
        <f>(I25-F25)/($C$7+1)</f>
        <v/>
      </c>
      <c r="K25" s="12">
        <f>(D25-E25)/($C$7+1)</f>
        <v/>
      </c>
      <c r="L25" s="10">
        <f>IFERROR((D25-E25)/D25,"")</f>
        <v/>
      </c>
      <c r="M25" s="14">
        <f>IF(J25=0,"Even",IF(J25&gt;0,"Underbilled","Overbilled"))</f>
        <v/>
      </c>
    </row>
    <row r="26">
      <c r="B26" s="9" t="inlineStr">
        <is>
          <t>Kestrel Ridge Residence</t>
        </is>
      </c>
      <c r="C26" s="10">
        <f>IFERROR((D26-E26)/D26,"")</f>
        <v/>
      </c>
      <c r="D26" s="11" t="n">
        <v>227800</v>
      </c>
      <c r="E26" s="11" t="n">
        <v>154100</v>
      </c>
      <c r="F26" s="11" t="n">
        <v>4000</v>
      </c>
      <c r="G26" s="11" t="n">
        <v>4378</v>
      </c>
      <c r="H26" s="10">
        <f>IFERROR(G26/E26,"")</f>
        <v/>
      </c>
      <c r="I26" s="12">
        <f>IFERROR(D26*H26,0)</f>
        <v/>
      </c>
      <c r="J26" s="13">
        <f>(I26-F26)/($C$7+1)</f>
        <v/>
      </c>
      <c r="K26" s="12">
        <f>(D26-E26)/($C$7+1)</f>
        <v/>
      </c>
      <c r="L26" s="10">
        <f>IFERROR((D26-E26)/D26,"")</f>
        <v/>
      </c>
      <c r="M26" s="14">
        <f>IF(J26=0,"Even",IF(J26&gt;0,"Underbilled","Overbilled"))</f>
        <v/>
      </c>
    </row>
    <row r="27">
      <c r="B27" s="15" t="inlineStr">
        <is>
          <t>Total - all open jobs</t>
        </is>
      </c>
      <c r="C27" s="16">
        <f>IFERROR((D27-E27)/D27,"")</f>
        <v/>
      </c>
      <c r="D27" s="17">
        <f>SUM(D13:D26)</f>
        <v/>
      </c>
      <c r="E27" s="17">
        <f>SUM(E13:E26)</f>
        <v/>
      </c>
      <c r="F27" s="17">
        <f>SUM(F13:F26)</f>
        <v/>
      </c>
      <c r="G27" s="17">
        <f>SUM(G13:G26)</f>
        <v/>
      </c>
      <c r="H27" s="16">
        <f>IFERROR(G27/E27,"")</f>
        <v/>
      </c>
      <c r="I27" s="17">
        <f>SUM(I13:I26)</f>
        <v/>
      </c>
      <c r="J27" s="18">
        <f>SUM(J13:J26)</f>
        <v/>
      </c>
      <c r="K27" s="17">
        <f>SUM(K13:K26)</f>
        <v/>
      </c>
      <c r="L27" s="16">
        <f>IFERROR((D27-E27)/D27,"")</f>
        <v/>
      </c>
      <c r="M27" s="19" t="n"/>
    </row>
    <row r="30">
      <c r="B30" s="20" t="inlineStr">
        <is>
          <t>Summary</t>
        </is>
      </c>
    </row>
    <row r="31">
      <c r="B31" s="21" t="inlineStr">
        <is>
          <t>Total contract value</t>
        </is>
      </c>
      <c r="C31" s="22">
        <f>D27</f>
        <v/>
      </c>
    </row>
    <row r="32">
      <c r="B32" s="21" t="inlineStr">
        <is>
          <t>Total estimated cost</t>
        </is>
      </c>
      <c r="C32" s="22">
        <f>E27</f>
        <v/>
      </c>
    </row>
    <row r="33">
      <c r="B33" s="21" t="inlineStr">
        <is>
          <t>Total billed to date</t>
        </is>
      </c>
      <c r="C33" s="22">
        <f>F27</f>
        <v/>
      </c>
    </row>
    <row r="34">
      <c r="B34" s="21" t="inlineStr">
        <is>
          <t>Total cost to date</t>
        </is>
      </c>
      <c r="C34" s="22">
        <f>G27</f>
        <v/>
      </c>
    </row>
    <row r="35">
      <c r="B35" s="21" t="inlineStr">
        <is>
          <t>Portfolio % complete (cost-to-cost)</t>
        </is>
      </c>
      <c r="C35" s="23">
        <f>IFERROR(G27/E27,"")</f>
        <v/>
      </c>
    </row>
    <row r="36">
      <c r="B36" s="21" t="inlineStr">
        <is>
          <t>Total earned revenue</t>
        </is>
      </c>
      <c r="C36" s="22">
        <f>I27</f>
        <v/>
      </c>
    </row>
    <row r="37">
      <c r="B37" s="21" t="inlineStr">
        <is>
          <t>Net over / (under) billing</t>
        </is>
      </c>
      <c r="C37" s="24">
        <f>J27</f>
        <v/>
      </c>
    </row>
    <row r="38">
      <c r="B38" s="21" t="inlineStr">
        <is>
          <t>Backlog (contract not yet billed)</t>
        </is>
      </c>
      <c r="C38" s="22">
        <f>(D27-F27)/($C$7+1)</f>
        <v/>
      </c>
    </row>
    <row r="39">
      <c r="B39" s="21" t="inlineStr">
        <is>
          <t>Gross margin</t>
        </is>
      </c>
      <c r="C39" s="23">
        <f>IFERROR((D27-E27)/D27,"")</f>
        <v/>
      </c>
    </row>
    <row r="41">
      <c r="B41" s="20" t="inlineStr">
        <is>
          <t>Balance sheet presentation</t>
        </is>
      </c>
    </row>
    <row r="42">
      <c r="B42" s="21" t="inlineStr">
        <is>
          <t>Costs in excess of billings (asset)</t>
        </is>
      </c>
      <c r="C42" s="22">
        <f>SUMIF(J13:J26,"&gt;0")</f>
        <v/>
      </c>
      <c r="D42" s="6" t="inlineStr">
        <is>
          <t>underbilled jobs - revenue earned, not yet invoiced</t>
        </is>
      </c>
    </row>
    <row r="43">
      <c r="B43" s="21" t="inlineStr">
        <is>
          <t>Billings in excess of costs (liability)</t>
        </is>
      </c>
      <c r="C43" s="22">
        <f>-SUMIF(J13:J26,"&lt;0")</f>
        <v/>
      </c>
      <c r="D43" s="6" t="inlineStr">
        <is>
          <t>overbilled jobs - invoiced ahead of work performed</t>
        </is>
      </c>
    </row>
    <row r="44">
      <c r="B44" s="25" t="inlineStr">
        <is>
          <t>Net position</t>
        </is>
      </c>
      <c r="C44" s="24">
        <f>C42-C43</f>
        <v/>
      </c>
      <c r="D44" s="6" t="inlineStr">
        <is>
          <t>agrees to total column J</t>
        </is>
      </c>
    </row>
    <row r="46">
      <c r="B46" s="20" t="inlineStr">
        <is>
          <t>How each column is calculated</t>
        </is>
      </c>
    </row>
    <row r="47" ht="26" customHeight="1">
      <c r="B47" s="26" t="inlineStr">
        <is>
          <t>Target Margin</t>
        </is>
      </c>
      <c r="C47" s="27" t="inlineStr">
        <is>
          <t>(Final Contract - Current Budget) / Final Contract. The margin the job was priced to deliver.</t>
        </is>
      </c>
    </row>
    <row r="48" ht="26" customHeight="1">
      <c r="B48" s="26" t="inlineStr">
        <is>
          <t>% Complete</t>
        </is>
      </c>
      <c r="C48" s="27" t="inlineStr">
        <is>
          <t>Cost to Date / Current Budget. The cost-to-cost method: progress is measured by cost consumed, not by time elapsed or a site walk.</t>
        </is>
      </c>
    </row>
    <row r="49" ht="26" customHeight="1">
      <c r="B49" s="26" t="inlineStr">
        <is>
          <t>Earned Revenue</t>
        </is>
      </c>
      <c r="C49" s="27" t="inlineStr">
        <is>
          <t>Final Contract x % Complete. The revenue GAAP says you have earned, regardless of what you have invoiced.</t>
        </is>
      </c>
    </row>
    <row r="50" ht="26" customHeight="1">
      <c r="B50" s="26" t="inlineStr">
        <is>
          <t>Over / (Under) Billing</t>
        </is>
      </c>
      <c r="C50" s="27" t="inlineStr">
        <is>
          <t>Earned Revenue - Billed to Date. Negative means you have invoiced ahead of the work (a liability). Positive means you have earned revenue you have not yet billed (an asset).</t>
        </is>
      </c>
    </row>
    <row r="51" ht="26" customHeight="1">
      <c r="B51" s="26" t="inlineStr">
        <is>
          <t>Gross Profit</t>
        </is>
      </c>
      <c r="C51" s="27" t="inlineStr">
        <is>
          <t>Final Contract - Current Budget, at the current estimate. Recalculated every month as the budget moves.</t>
        </is>
      </c>
    </row>
    <row r="52" ht="26" customHeight="1">
      <c r="B52" s="26" t="inlineStr">
        <is>
          <t>Backlog</t>
        </is>
      </c>
      <c r="C52" s="27" t="inlineStr">
        <is>
          <t>Final Contract - Billed to Date across all jobs. The figure your surety and lender ask for first.</t>
        </is>
      </c>
    </row>
    <row r="54">
      <c r="B54" s="20" t="inlineStr">
        <is>
          <t>What this schedule is for</t>
        </is>
      </c>
    </row>
    <row r="55" ht="30" customHeight="1">
      <c r="B55" s="27" t="inlineStr">
        <is>
          <t>- The schedule is only as good as the Current Budget. A budget that has not been updated for known cost growth will overstate both % complete and profit - this is what produces margin fade at close-out.</t>
        </is>
      </c>
    </row>
    <row r="56" ht="30" customHeight="1">
      <c r="B56" s="27" t="inlineStr">
        <is>
          <t>- Under US GAAP, if a contract is expected to finish at a loss, the entire loss is recognised as soon as it is probable and estimable - it is not spread across the remaining job.</t>
        </is>
      </c>
    </row>
    <row r="57" ht="30" customHeight="1">
      <c r="B57" s="27" t="inlineStr">
        <is>
          <t>- Cost-to-cost assumes cost is incurred evenly with progress. Where large materials are delivered but not installed, exclude them from Cost to Date or the job will look further along than it is.</t>
        </is>
      </c>
    </row>
    <row r="59">
      <c r="B59" s="6" t="inlineStr">
        <is>
          <t>Blue figures are inputs. Everything else is calculated - change an input and the schedule recalculates.</t>
        </is>
      </c>
    </row>
    <row r="60">
      <c r="B60" s="28" t="inlineStr">
        <is>
          <t>Prepared by FinRise Advisors  |  finriseadvisors.com  |  Sample for illustration only</t>
        </is>
      </c>
    </row>
  </sheetData>
  <mergeCells count="9">
    <mergeCell ref="C49:M49"/>
    <mergeCell ref="B57:M57"/>
    <mergeCell ref="C51:M51"/>
    <mergeCell ref="C47:M47"/>
    <mergeCell ref="C50:M50"/>
    <mergeCell ref="B56:M56"/>
    <mergeCell ref="C52:M52"/>
    <mergeCell ref="C48:M48"/>
    <mergeCell ref="B55:M55"/>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2026-09-20T21:21:05Z</dcterms:created>
  <dcterms:modified xmlns:dcterms="http://purl.org/dc/terms/" xmlns:xsi="http://www.w3.org/2001/XMLSchema-instance" xsi:type="dcterms:W3CDTF">2026-09-20T21:21:05Z</dcterms:modified>
</cp:coreProperties>
</file>